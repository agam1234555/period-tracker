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sk1_Ovulation" sheetId="2" state="visible" r:id="rId4"/>
    <sheet name="Task2_NextPeriod" sheetId="3" state="visible" r:id="rId5"/>
    <sheet name="Blend_Range" sheetId="4" state="visible" r:id="rId6"/>
    <sheet name="Const_Sweep" sheetId="5" state="visible" r:id="rId7"/>
    <sheet name="Data_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<sst xmlns="http://schemas.openxmlformats.org/spreadsheetml/2006/main" count="175" uniqueCount="125">
  <si>
    <t xml:space="preserve">Period tracker: Phase 1 results</t>
  </si>
  <si>
    <t xml:space="preserve">Backtest on FedCycleData. Numbers below pull from the other sheets.</t>
  </si>
  <si>
    <t xml:space="preserve">Key metric</t>
  </si>
  <si>
    <t xml:space="preserve">Value</t>
  </si>
  <si>
    <t xml:space="preserve">What it means</t>
  </si>
  <si>
    <t xml:space="preserve">Ovulation MAE: personal luteal vs fixed 14 (days gained)</t>
  </si>
  <si>
    <t xml:space="preserve">Real but modest gain; ovulation guess stays about ±2 days regardless.</t>
  </si>
  <si>
    <t xml:space="preserve">Ovulation window coverage: personal luteal</t>
  </si>
  <si>
    <t xml:space="preserve">Share of cycles where true ovulation falls inside the predicted window.</t>
  </si>
  <si>
    <t xml:space="preserve">Next-period error cut: ovulation + personal luteal (all)</t>
  </si>
  <si>
    <t xml:space="preserve">Biggest win: re-anchoring on confirmed ovulation with personal luteal.</t>
  </si>
  <si>
    <t xml:space="preserve">Next-period error cut: same, after &gt;=3 luteals known</t>
  </si>
  <si>
    <t xml:space="preserve">Gain grows once personal luteal has been learned.</t>
  </si>
  <si>
    <t xml:space="preserve">Start within ±2 days: ovulation + 14</t>
  </si>
  <si>
    <t xml:space="preserve">Hit rate of a ±2 day window before luteal is learned.</t>
  </si>
  <si>
    <t xml:space="preserve">Start within ±2 days: ovulation + personal luteal</t>
  </si>
  <si>
    <t xml:space="preserve">Hit rate once personal luteal is used.</t>
  </si>
  <si>
    <t xml:space="preserve">Best fixed constant after confirmed ovulation</t>
  </si>
  <si>
    <t xml:space="preserve">App default is 14; dataset prefers 13 (possible frame offset).</t>
  </si>
  <si>
    <t xml:space="preserve">Decisions</t>
  </si>
  <si>
    <t xml:space="preserve">Component</t>
  </si>
  <si>
    <t xml:space="preserve">Decision</t>
  </si>
  <si>
    <t xml:space="preserve">Evidence</t>
  </si>
  <si>
    <t xml:space="preserve">Cycle-length engine (analyze())</t>
  </si>
  <si>
    <t xml:space="preserve">Keep as is</t>
  </si>
  <si>
    <t xml:space="preserve">No tested upgrade (fitted prior, Kalman, split-missed) clearly beat it; differences &lt;= 0.05 day on 135 users.</t>
  </si>
  <si>
    <t xml:space="preserve">Personal luteal + re-anchor on ovulation</t>
  </si>
  <si>
    <t xml:space="preserve">Keep</t>
  </si>
  <si>
    <t xml:space="preserve">Largest measured gain (see Task2_NextPeriod).</t>
  </si>
  <si>
    <t xml:space="preserve">Window w=2 for confirmed ovulation</t>
  </si>
  <si>
    <t xml:space="preserve">Optional: use w=3 until lutKnown</t>
  </si>
  <si>
    <t xml:space="preserve">Within ±2 hit rate is lower with the default 14 than with personal luteal.</t>
  </si>
  <si>
    <t xml:space="preserve">Default luteal 14</t>
  </si>
  <si>
    <t xml:space="preserve">Do not change yet</t>
  </si>
  <si>
    <t xml:space="preserve">Bias may be a day-counting frame offset; personal luteal self-calibrates.</t>
  </si>
  <si>
    <t xml:space="preserve">LSTM, Kalman, fitted prior</t>
  </si>
  <si>
    <t xml:space="preserve">Dropped</t>
  </si>
  <si>
    <t xml:space="preserve">No gain at this data size; simple models already at the noise floor.</t>
  </si>
  <si>
    <t xml:space="preserve">Next test</t>
  </si>
  <si>
    <t xml:space="preserve">Needs real BBT data</t>
  </si>
  <si>
    <t xml:space="preserve">Dataset ovulation is near exact; real detection is later and noisier.</t>
  </si>
  <si>
    <t xml:space="preserve">Source: user's Colab run on Kaggle FedCycleData (nikitabisht/menstrual-cycle-data); blue = values pasted from that run, black = formulas.</t>
  </si>
  <si>
    <t xml:space="preserve">Task 1: predict OVULATION DAY before the cycle starts</t>
  </si>
  <si>
    <t xml:space="preserve">Error in days (prediction minus actual). Lower MAE is better. Window cov = true ovulation day inside the predicted window.</t>
  </si>
  <si>
    <t xml:space="preserve">All targets (personal falls back to 14 until history exists)</t>
  </si>
  <si>
    <t xml:space="preserve">Method</t>
  </si>
  <si>
    <t xml:space="preserve">MAE (days)</t>
  </si>
  <si>
    <t xml:space="preserve">Bias (days)</t>
  </si>
  <si>
    <t xml:space="preserve">Within ±1 day</t>
  </si>
  <si>
    <t xml:space="preserve">Within ±2 days</t>
  </si>
  <si>
    <t xml:space="preserve">Window coverage</t>
  </si>
  <si>
    <t xml:space="preserve">n</t>
  </si>
  <si>
    <t xml:space="preserve">MAE gain vs fixed 14 (days)</t>
  </si>
  <si>
    <t xml:space="preserve">% better than fixed 14</t>
  </si>
  <si>
    <t xml:space="preserve">Fixed 14 (app default)</t>
  </si>
  <si>
    <t xml:space="preserve">Population luteal</t>
  </si>
  <si>
    <t xml:space="preserve">Personal luteal</t>
  </si>
  <si>
    <t xml:space="preserve">Forward (mean past ovulation day)</t>
  </si>
  <si>
    <t xml:space="preserve">n/a</t>
  </si>
  <si>
    <t xml:space="preserve">Only after &gt;=3 prior luteals known (learned personal)</t>
  </si>
  <si>
    <t xml:space="preserve">Gain columns: positive = more accurate than fixed 14. Bias: negative = predicted too early, positive = too late.</t>
  </si>
  <si>
    <t xml:space="preserve">Task 2: ovulation CONFIRMED -&gt; predict next period start</t>
  </si>
  <si>
    <t xml:space="preserve">Error in days (prediction minus actual cycle length). Lower MAE is better.</t>
  </si>
  <si>
    <t xml:space="preserve">All targets</t>
  </si>
  <si>
    <t xml:space="preserve">MAE gain vs cycle-length model (days)</t>
  </si>
  <si>
    <t xml:space="preserve">% error reduction vs cycle-length model</t>
  </si>
  <si>
    <t xml:space="preserve">Cycle-length model (no ovulation info)</t>
  </si>
  <si>
    <t xml:space="preserve">Ovulation + 14</t>
  </si>
  <si>
    <t xml:space="preserve">Ovulation + population luteal</t>
  </si>
  <si>
    <t xml:space="preserve">Ovulation + personal luteal</t>
  </si>
  <si>
    <t xml:space="preserve">Only after &gt;=3 prior luteals known</t>
  </si>
  <si>
    <t xml:space="preserve">Highlighted row = best method. Dataset ovulation is monitor/hormone based (near exact); real BBT detection is later and noisier, so real numbers will be worse.</t>
  </si>
  <si>
    <t xml:space="preserve">Blend and range: results with users of mixed detection noise</t>
  </si>
  <si>
    <t xml:space="preserve">25% of cycles never detected, bias +1 day. Blend = weight ovulation vs cycle-length by each user's own past errors. Range B = native half-width shrunk toward the user's own recent errors (80% target).</t>
  </si>
  <si>
    <t xml:space="preserve">(1) Next-period MAE (days) by user detection noise</t>
  </si>
  <si>
    <t xml:space="preserve">User group</t>
  </si>
  <si>
    <t xml:space="preserve">Cycle-length only</t>
  </si>
  <si>
    <t xml:space="preserve">Always re-anchor</t>
  </si>
  <si>
    <t xml:space="preserve">Blend</t>
  </si>
  <si>
    <t xml:space="preserve">Blend gain vs cycle-length (days)</t>
  </si>
  <si>
    <t xml:space="preserve">% better</t>
  </si>
  <si>
    <t xml:space="preserve">clean (sd&lt;=1)</t>
  </si>
  <si>
    <t xml:space="preserve">mid (sd=2)</t>
  </si>
  <si>
    <t xml:space="preserve">messy (sd=3)</t>
  </si>
  <si>
    <t xml:space="preserve">ALL</t>
  </si>
  <si>
    <t xml:space="preserve">Within ±2 days (all users)</t>
  </si>
  <si>
    <t xml:space="preserve">Blend gain (points)</t>
  </si>
  <si>
    <t xml:space="preserve">Share of cycles</t>
  </si>
  <si>
    <t xml:space="preserve">(2) Range coverage and width: A = native analyze() half-width, B = shrunk toward own recent errors</t>
  </si>
  <si>
    <t xml:space="preserve">By history length (cycles)</t>
  </si>
  <si>
    <t xml:space="preserve">Coverage A</t>
  </si>
  <si>
    <t xml:space="preserve">Width A (days)</t>
  </si>
  <si>
    <t xml:space="preserve">Coverage B</t>
  </si>
  <si>
    <t xml:space="preserve">Width B (days)</t>
  </si>
  <si>
    <t xml:space="preserve">Width saved by B</t>
  </si>
  <si>
    <t xml:space="preserve">1-2</t>
  </si>
  <si>
    <t xml:space="preserve">3-5</t>
  </si>
  <si>
    <t xml:space="preserve">6-9</t>
  </si>
  <si>
    <t xml:space="preserve">10+</t>
  </si>
  <si>
    <t xml:space="preserve">By user noise</t>
  </si>
  <si>
    <t xml:space="preserve">Target coverage</t>
  </si>
  <si>
    <t xml:space="preserve">Lowest coverage of B across all rows</t>
  </si>
  <si>
    <t xml:space="preserve">B meets target in every row?</t>
  </si>
  <si>
    <t xml:space="preserve">Reading: blend never loses badly (messy users +0.075 day) and wins overall. Range B tracks 80% per user while being narrower. Dataset is more regular than real users, so re-check on real logs.</t>
  </si>
  <si>
    <t xml:space="preserve">Source: user's Colab run of phase1 patch6 (blend + range). Blue = pasted from that run, black = formulas.</t>
  </si>
  <si>
    <t xml:space="preserve">Best fixed luteal constant (MAE in days)</t>
  </si>
  <si>
    <t xml:space="preserve">Constant c</t>
  </si>
  <si>
    <t xml:space="preserve">Task 1: ovulation = P - c</t>
  </si>
  <si>
    <t xml:space="preserve">Task 2: next start = ov + c</t>
  </si>
  <si>
    <t xml:space="preserve">Lowest MAE</t>
  </si>
  <si>
    <t xml:space="preserve">Best constant</t>
  </si>
  <si>
    <t xml:space="preserve">P = predicted cycle length from analyze(). Task 2 best constant is 13 (not 14): app's 14 runs ~0.7 day late. Possible frame offset (dataset day counting vs app's 'day before temp rise'), cannot be settled without BBT data.</t>
  </si>
  <si>
    <t xml:space="preserve">Data check (luteal = cycle length - ovulation day)</t>
  </si>
  <si>
    <t xml:space="preserve">Item</t>
  </si>
  <si>
    <t xml:space="preserve">Cycles with ovulation</t>
  </si>
  <si>
    <t xml:space="preserve">Total cycles loaded</t>
  </si>
  <si>
    <t xml:space="preserve">Users with ovulation data</t>
  </si>
  <si>
    <t xml:space="preserve">Rows where (len - ov) = LengthofLutealPhase</t>
  </si>
  <si>
    <t xml:space="preserve">Luteal mean (days)</t>
  </si>
  <si>
    <t xml:space="preserve">Luteal SD (days)</t>
  </si>
  <si>
    <t xml:space="preserve">Luteal median (days)</t>
  </si>
  <si>
    <t xml:space="preserve">Share of luteals in 9..17 range</t>
  </si>
  <si>
    <t xml:space="preserve">Share of cycles with ovulation</t>
  </si>
  <si>
    <t xml:space="preserve">Identity holds (share of cycles)</t>
  </si>
  <si>
    <t xml:space="preserve">SD of 2.65 days is large, so no single fixed luteal value fits everyone; that is why personalising helps.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</si>
</sst>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+0.00"/>
    <numFmt numFmtId="166" formatCode="0.0%"/>
    <numFmt numFmtId="167" formatCode="0"/>
    <numFmt numFmtId="168" formatCode="0.00"/>
    <numFmt numFmtId="169" formatCode="\+0.00;\-0.00;0.00"/>
    <numFmt numFmtId="170" formatCode="#,##0"/>
    <numFmt numFmtId="171" formatCode="0.0%;\-0.0%;0.0%"/>
    <numFmt numFmtId="172" formatCode="0.000"/>
    <numFmt numFmtId="173" formatCode="\+0.000;\-0.000;0.000"/>
    <numFmt numFmtId="174" formatCode="\+0.0;\-0.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0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30" hidden="false" customHeight="true" outlineLevel="0" collapsed="false">
      <c r="A5" s="5" t="s">
        <v>5</v>
      </c>
      <c r="B5" s="6" t="n">
        <f aca="false">Task1_Ovulation!H8</f>
        <v>0.215</v>
      </c>
      <c r="C5" s="5" t="s">
        <v>6</v>
      </c>
    </row>
    <row r="6" customFormat="false" ht="30" hidden="false" customHeight="true" outlineLevel="0" collapsed="false">
      <c r="A6" s="5" t="s">
        <v>7</v>
      </c>
      <c r="B6" s="7" t="n">
        <f aca="false">Task1_Ovulation!F8</f>
        <v>0.915</v>
      </c>
      <c r="C6" s="5" t="s">
        <v>8</v>
      </c>
    </row>
    <row r="7" customFormat="false" ht="30" hidden="false" customHeight="true" outlineLevel="0" collapsed="false">
      <c r="A7" s="5" t="s">
        <v>9</v>
      </c>
      <c r="B7" s="7" t="n">
        <f aca="false">Task2_NextPeriod!H9</f>
        <v>0.379261363636364</v>
      </c>
      <c r="C7" s="5" t="s">
        <v>10</v>
      </c>
    </row>
    <row r="8" customFormat="false" ht="30" hidden="false" customHeight="true" outlineLevel="0" collapsed="false">
      <c r="A8" s="5" t="s">
        <v>11</v>
      </c>
      <c r="B8" s="7" t="n">
        <f aca="false">Task2_NextPeriod!H16</f>
        <v>0.444780635400908</v>
      </c>
      <c r="C8" s="5" t="s">
        <v>12</v>
      </c>
    </row>
    <row r="9" customFormat="false" ht="30" hidden="false" customHeight="true" outlineLevel="0" collapsed="false">
      <c r="A9" s="5" t="s">
        <v>13</v>
      </c>
      <c r="B9" s="7" t="n">
        <f aca="false">Task2_NextPeriod!E7</f>
        <v>0.759</v>
      </c>
      <c r="C9" s="5" t="s">
        <v>14</v>
      </c>
    </row>
    <row r="10" customFormat="false" ht="30" hidden="false" customHeight="true" outlineLevel="0" collapsed="false">
      <c r="A10" s="5" t="s">
        <v>15</v>
      </c>
      <c r="B10" s="7" t="n">
        <f aca="false">Task2_NextPeriod!E9</f>
        <v>0.871</v>
      </c>
      <c r="C10" s="5" t="s">
        <v>16</v>
      </c>
    </row>
    <row r="11" customFormat="false" ht="30" hidden="false" customHeight="true" outlineLevel="0" collapsed="false">
      <c r="A11" s="5" t="s">
        <v>17</v>
      </c>
      <c r="B11" s="8" t="n">
        <f aca="false">Const_Sweep!C13</f>
        <v>13</v>
      </c>
      <c r="C11" s="5" t="s">
        <v>18</v>
      </c>
    </row>
    <row r="12" customFormat="false" ht="30" hidden="false" customHeight="true" outlineLevel="0" collapsed="false"/>
    <row r="13" customFormat="false" ht="30" hidden="false" customHeight="true" outlineLevel="0" collapsed="false">
      <c r="A13" s="9" t="s">
        <v>19</v>
      </c>
      <c r="B13" s="10"/>
      <c r="C13" s="10"/>
    </row>
    <row r="14" customFormat="false" ht="30" hidden="false" customHeight="true" outlineLevel="0" collapsed="false">
      <c r="A14" s="4" t="s">
        <v>20</v>
      </c>
      <c r="B14" s="4" t="s">
        <v>21</v>
      </c>
      <c r="C14" s="4" t="s">
        <v>22</v>
      </c>
    </row>
    <row r="15" customFormat="false" ht="30" hidden="false" customHeight="true" outlineLevel="0" collapsed="false">
      <c r="A15" s="5" t="s">
        <v>23</v>
      </c>
      <c r="B15" s="5" t="s">
        <v>24</v>
      </c>
      <c r="C15" s="5" t="s">
        <v>25</v>
      </c>
    </row>
    <row r="16" customFormat="false" ht="30" hidden="false" customHeight="true" outlineLevel="0" collapsed="false">
      <c r="A16" s="5" t="s">
        <v>26</v>
      </c>
      <c r="B16" s="5" t="s">
        <v>27</v>
      </c>
      <c r="C16" s="5" t="s">
        <v>28</v>
      </c>
    </row>
    <row r="17" customFormat="false" ht="30" hidden="false" customHeight="true" outlineLevel="0" collapsed="false">
      <c r="A17" s="5" t="s">
        <v>29</v>
      </c>
      <c r="B17" s="5" t="s">
        <v>30</v>
      </c>
      <c r="C17" s="5" t="s">
        <v>31</v>
      </c>
    </row>
    <row r="18" customFormat="false" ht="30" hidden="false" customHeight="true" outlineLevel="0" collapsed="false">
      <c r="A18" s="5" t="s">
        <v>32</v>
      </c>
      <c r="B18" s="5" t="s">
        <v>33</v>
      </c>
      <c r="C18" s="5" t="s">
        <v>34</v>
      </c>
    </row>
    <row r="19" customFormat="false" ht="30" hidden="false" customHeight="true" outlineLevel="0" collapsed="false">
      <c r="A19" s="5" t="s">
        <v>35</v>
      </c>
      <c r="B19" s="5" t="s">
        <v>36</v>
      </c>
      <c r="C19" s="5" t="s">
        <v>37</v>
      </c>
    </row>
    <row r="20" customFormat="false" ht="30" hidden="false" customHeight="true" outlineLevel="0" collapsed="false">
      <c r="A20" s="5" t="s">
        <v>38</v>
      </c>
      <c r="B20" s="5" t="s">
        <v>39</v>
      </c>
      <c r="C20" s="5" t="s">
        <v>40</v>
      </c>
    </row>
    <row r="22" customFormat="false" ht="15" hidden="false" customHeight="true" outlineLevel="0" collapsed="false">
      <c r="A22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5"/>
  </cols>
  <sheetData>
    <row r="1" customFormat="false" ht="17.2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15" hidden="false" customHeight="true" outlineLevel="0" collapsed="false">
      <c r="A4" s="9" t="s">
        <v>44</v>
      </c>
      <c r="B4" s="10"/>
      <c r="C4" s="10"/>
      <c r="D4" s="10"/>
      <c r="E4" s="10"/>
      <c r="F4" s="10"/>
      <c r="G4" s="10"/>
      <c r="H4" s="10"/>
      <c r="I4" s="10"/>
    </row>
    <row r="5" customFormat="false" ht="31.5" hidden="false" customHeight="tru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</row>
    <row r="6" customFormat="false" ht="15" hidden="false" customHeight="true" outlineLevel="0" collapsed="false">
      <c r="A6" s="11" t="s">
        <v>54</v>
      </c>
      <c r="B6" s="12" t="n">
        <v>2.17</v>
      </c>
      <c r="C6" s="13" t="n">
        <v>-0.771</v>
      </c>
      <c r="D6" s="14" t="n">
        <v>0.468</v>
      </c>
      <c r="E6" s="14" t="n">
        <v>0.678</v>
      </c>
      <c r="F6" s="14" t="n">
        <v>0.872</v>
      </c>
      <c r="G6" s="15" t="n">
        <v>1371</v>
      </c>
      <c r="H6" s="16" t="n">
        <f aca="false">$B$6-B6</f>
        <v>0</v>
      </c>
      <c r="I6" s="17" t="n">
        <f aca="false">H6/$B$6</f>
        <v>0</v>
      </c>
    </row>
    <row r="7" customFormat="false" ht="15" hidden="false" customHeight="true" outlineLevel="0" collapsed="false">
      <c r="A7" s="11" t="s">
        <v>55</v>
      </c>
      <c r="B7" s="12" t="n">
        <v>2.214</v>
      </c>
      <c r="C7" s="13" t="n">
        <v>0.229</v>
      </c>
      <c r="D7" s="14" t="n">
        <v>0.421</v>
      </c>
      <c r="E7" s="14" t="n">
        <v>0.66</v>
      </c>
      <c r="F7" s="14" t="n">
        <v>0.892</v>
      </c>
      <c r="G7" s="15" t="n">
        <v>1371</v>
      </c>
      <c r="H7" s="16" t="n">
        <f aca="false">$B$6-B7</f>
        <v>-0.044</v>
      </c>
      <c r="I7" s="17" t="n">
        <f aca="false">H7/$B$6</f>
        <v>-0.0202764976958526</v>
      </c>
    </row>
    <row r="8" customFormat="false" ht="15" hidden="false" customHeight="true" outlineLevel="0" collapsed="false">
      <c r="A8" s="11" t="s">
        <v>56</v>
      </c>
      <c r="B8" s="12" t="n">
        <v>1.955</v>
      </c>
      <c r="C8" s="13" t="n">
        <v>0.099</v>
      </c>
      <c r="D8" s="14" t="n">
        <v>0.516</v>
      </c>
      <c r="E8" s="14" t="n">
        <v>0.726</v>
      </c>
      <c r="F8" s="14" t="n">
        <v>0.915</v>
      </c>
      <c r="G8" s="15" t="n">
        <v>1371</v>
      </c>
      <c r="H8" s="16" t="n">
        <f aca="false">$B$6-B8</f>
        <v>0.215</v>
      </c>
      <c r="I8" s="17" t="n">
        <f aca="false">H8/$B$6</f>
        <v>0.0990783410138248</v>
      </c>
    </row>
    <row r="9" customFormat="false" ht="15" hidden="false" customHeight="true" outlineLevel="0" collapsed="false">
      <c r="A9" s="11" t="s">
        <v>57</v>
      </c>
      <c r="B9" s="12" t="n">
        <v>1.84</v>
      </c>
      <c r="C9" s="13" t="n">
        <v>0.244</v>
      </c>
      <c r="D9" s="14" t="n">
        <v>0.544</v>
      </c>
      <c r="E9" s="14" t="n">
        <v>0.749</v>
      </c>
      <c r="F9" s="14" t="s">
        <v>58</v>
      </c>
      <c r="G9" s="15" t="n">
        <v>1371</v>
      </c>
      <c r="H9" s="16" t="n">
        <f aca="false">$B$6-B9</f>
        <v>0.33</v>
      </c>
      <c r="I9" s="17" t="n">
        <f aca="false">H9/$B$6</f>
        <v>0.152073732718894</v>
      </c>
    </row>
    <row r="11" customFormat="false" ht="15" hidden="false" customHeight="true" outlineLevel="0" collapsed="false">
      <c r="A11" s="9" t="s">
        <v>59</v>
      </c>
      <c r="B11" s="10"/>
      <c r="C11" s="10"/>
      <c r="D11" s="10"/>
      <c r="E11" s="10"/>
      <c r="F11" s="10"/>
      <c r="G11" s="10"/>
      <c r="H11" s="10"/>
      <c r="I11" s="10"/>
    </row>
    <row r="12" customFormat="false" ht="31.5" hidden="false" customHeight="true" outlineLevel="0" collapsed="false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53</v>
      </c>
    </row>
    <row r="13" customFormat="false" ht="15" hidden="false" customHeight="true" outlineLevel="0" collapsed="false">
      <c r="A13" s="11" t="s">
        <v>54</v>
      </c>
      <c r="B13" s="12" t="n">
        <v>2.026</v>
      </c>
      <c r="C13" s="13" t="n">
        <v>-0.737</v>
      </c>
      <c r="D13" s="14" t="n">
        <v>0.496</v>
      </c>
      <c r="E13" s="14" t="n">
        <v>0.71</v>
      </c>
      <c r="F13" s="14" t="n">
        <v>0.875</v>
      </c>
      <c r="G13" s="15" t="n">
        <v>1044</v>
      </c>
      <c r="H13" s="16" t="n">
        <f aca="false">$B$13-B13</f>
        <v>0</v>
      </c>
      <c r="I13" s="17" t="n">
        <f aca="false">H13/$B$13</f>
        <v>0</v>
      </c>
    </row>
    <row r="14" customFormat="false" ht="15" hidden="false" customHeight="true" outlineLevel="0" collapsed="false">
      <c r="A14" s="11" t="s">
        <v>55</v>
      </c>
      <c r="B14" s="12" t="n">
        <v>2.089</v>
      </c>
      <c r="C14" s="13" t="n">
        <v>0.263</v>
      </c>
      <c r="D14" s="14" t="n">
        <v>0.441</v>
      </c>
      <c r="E14" s="14" t="n">
        <v>0.685</v>
      </c>
      <c r="F14" s="14" t="n">
        <v>0.898</v>
      </c>
      <c r="G14" s="15" t="n">
        <v>1044</v>
      </c>
      <c r="H14" s="16" t="n">
        <f aca="false">$B$13-B14</f>
        <v>-0.0630000000000002</v>
      </c>
      <c r="I14" s="17" t="n">
        <f aca="false">H14/$B$13</f>
        <v>-0.031095755182626</v>
      </c>
    </row>
    <row r="15" customFormat="false" ht="15" hidden="false" customHeight="true" outlineLevel="0" collapsed="false">
      <c r="A15" s="11" t="s">
        <v>56</v>
      </c>
      <c r="B15" s="12" t="n">
        <v>1.815</v>
      </c>
      <c r="C15" s="13" t="n">
        <v>0.141</v>
      </c>
      <c r="D15" s="14" t="n">
        <v>0.548</v>
      </c>
      <c r="E15" s="14" t="n">
        <v>0.749</v>
      </c>
      <c r="F15" s="14" t="n">
        <v>0.926</v>
      </c>
      <c r="G15" s="15" t="n">
        <v>1044</v>
      </c>
      <c r="H15" s="16" t="n">
        <f aca="false">$B$13-B15</f>
        <v>0.211</v>
      </c>
      <c r="I15" s="17" t="n">
        <f aca="false">H15/$B$13</f>
        <v>0.104146100691017</v>
      </c>
    </row>
    <row r="16" customFormat="false" ht="15" hidden="false" customHeight="true" outlineLevel="0" collapsed="false">
      <c r="A16" s="11" t="s">
        <v>57</v>
      </c>
      <c r="B16" s="12" t="n">
        <v>1.727</v>
      </c>
      <c r="C16" s="13" t="n">
        <v>0.254</v>
      </c>
      <c r="D16" s="14" t="n">
        <v>0.562</v>
      </c>
      <c r="E16" s="14" t="n">
        <v>0.771</v>
      </c>
      <c r="F16" s="14" t="s">
        <v>58</v>
      </c>
      <c r="G16" s="15" t="n">
        <v>1044</v>
      </c>
      <c r="H16" s="16" t="n">
        <f aca="false">$B$13-B16</f>
        <v>0.299</v>
      </c>
      <c r="I16" s="17" t="n">
        <f aca="false">H16/$B$13</f>
        <v>0.147581441263573</v>
      </c>
    </row>
    <row r="18" customFormat="false" ht="15" hidden="false" customHeight="true" outlineLevel="0" collapsed="false">
      <c r="A18" s="3" t="s">
        <v>60</v>
      </c>
    </row>
    <row r="19" customFormat="false" ht="15" hidden="false" customHeight="true" outlineLevel="0" collapsed="false">
      <c r="A19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7"/>
  </cols>
  <sheetData>
    <row r="1" customFormat="false" ht="17.25" hidden="false" customHeight="true" outlineLevel="0" collapsed="false">
      <c r="A1" s="2" t="s">
        <v>61</v>
      </c>
    </row>
    <row r="2" customFormat="false" ht="15" hidden="false" customHeight="true" outlineLevel="0" collapsed="false">
      <c r="A2" s="3" t="s">
        <v>62</v>
      </c>
    </row>
    <row r="4" customFormat="false" ht="15" hidden="false" customHeight="true" outlineLevel="0" collapsed="false">
      <c r="A4" s="9" t="s">
        <v>63</v>
      </c>
      <c r="B4" s="10"/>
      <c r="C4" s="10"/>
      <c r="D4" s="10"/>
      <c r="E4" s="10"/>
      <c r="F4" s="10"/>
      <c r="G4" s="10"/>
      <c r="H4" s="10"/>
    </row>
    <row r="5" customFormat="false" ht="31.5" hidden="false" customHeight="tru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51</v>
      </c>
      <c r="G5" s="4" t="s">
        <v>64</v>
      </c>
      <c r="H5" s="4" t="s">
        <v>65</v>
      </c>
    </row>
    <row r="6" customFormat="false" ht="15" hidden="false" customHeight="true" outlineLevel="0" collapsed="false">
      <c r="A6" s="11" t="s">
        <v>66</v>
      </c>
      <c r="B6" s="12" t="n">
        <v>2.112</v>
      </c>
      <c r="C6" s="13" t="n">
        <v>-0.077</v>
      </c>
      <c r="D6" s="14" t="n">
        <v>0.486</v>
      </c>
      <c r="E6" s="14" t="n">
        <v>0.69</v>
      </c>
      <c r="F6" s="15" t="n">
        <v>1371</v>
      </c>
      <c r="G6" s="16" t="n">
        <f aca="false">$B$6-B6</f>
        <v>0</v>
      </c>
      <c r="H6" s="17" t="n">
        <f aca="false">G6/$B$6</f>
        <v>0</v>
      </c>
    </row>
    <row r="7" customFormat="false" ht="15" hidden="false" customHeight="true" outlineLevel="0" collapsed="false">
      <c r="A7" s="11" t="s">
        <v>67</v>
      </c>
      <c r="B7" s="12" t="n">
        <v>1.878</v>
      </c>
      <c r="C7" s="13" t="n">
        <v>0.694</v>
      </c>
      <c r="D7" s="14" t="n">
        <v>0.527</v>
      </c>
      <c r="E7" s="14" t="n">
        <v>0.759</v>
      </c>
      <c r="F7" s="15" t="n">
        <v>1371</v>
      </c>
      <c r="G7" s="16" t="n">
        <f aca="false">$B$6-B7</f>
        <v>0.234</v>
      </c>
      <c r="H7" s="17" t="n">
        <f aca="false">G7/$B$6</f>
        <v>0.110795454545455</v>
      </c>
    </row>
    <row r="8" customFormat="false" ht="15" hidden="false" customHeight="true" outlineLevel="0" collapsed="false">
      <c r="A8" s="11" t="s">
        <v>68</v>
      </c>
      <c r="B8" s="12" t="n">
        <v>1.705</v>
      </c>
      <c r="C8" s="13" t="n">
        <v>-0.306</v>
      </c>
      <c r="D8" s="14" t="n">
        <v>0.597</v>
      </c>
      <c r="E8" s="14" t="n">
        <v>0.806</v>
      </c>
      <c r="F8" s="15" t="n">
        <v>1371</v>
      </c>
      <c r="G8" s="16" t="n">
        <f aca="false">$B$6-B8</f>
        <v>0.407</v>
      </c>
      <c r="H8" s="17" t="n">
        <f aca="false">G8/$B$6</f>
        <v>0.192708333333333</v>
      </c>
    </row>
    <row r="9" customFormat="false" ht="15" hidden="false" customHeight="true" outlineLevel="0" collapsed="false">
      <c r="A9" s="18" t="s">
        <v>69</v>
      </c>
      <c r="B9" s="19" t="n">
        <v>1.311</v>
      </c>
      <c r="C9" s="20" t="n">
        <v>-0.177</v>
      </c>
      <c r="D9" s="21" t="n">
        <v>0.721</v>
      </c>
      <c r="E9" s="21" t="n">
        <v>0.871</v>
      </c>
      <c r="F9" s="22" t="n">
        <v>1371</v>
      </c>
      <c r="G9" s="23" t="n">
        <f aca="false">$B$6-B9</f>
        <v>0.801</v>
      </c>
      <c r="H9" s="24" t="n">
        <f aca="false">G9/$B$6</f>
        <v>0.379261363636364</v>
      </c>
    </row>
    <row r="11" customFormat="false" ht="15" hidden="false" customHeight="true" outlineLevel="0" collapsed="false">
      <c r="A11" s="9" t="s">
        <v>70</v>
      </c>
      <c r="B11" s="10"/>
      <c r="C11" s="10"/>
      <c r="D11" s="10"/>
      <c r="E11" s="10"/>
      <c r="F11" s="10"/>
      <c r="G11" s="10"/>
      <c r="H11" s="10"/>
    </row>
    <row r="12" customFormat="false" ht="31.5" hidden="false" customHeight="true" outlineLevel="0" collapsed="false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51</v>
      </c>
      <c r="G12" s="4" t="s">
        <v>64</v>
      </c>
      <c r="H12" s="4" t="s">
        <v>65</v>
      </c>
    </row>
    <row r="13" customFormat="false" ht="15" hidden="false" customHeight="true" outlineLevel="0" collapsed="false">
      <c r="A13" s="11" t="s">
        <v>66</v>
      </c>
      <c r="B13" s="12" t="n">
        <v>1.983</v>
      </c>
      <c r="C13" s="13" t="n">
        <v>0.05</v>
      </c>
      <c r="D13" s="14" t="n">
        <v>0.512</v>
      </c>
      <c r="E13" s="14" t="n">
        <v>0.705</v>
      </c>
      <c r="F13" s="15" t="n">
        <v>1044</v>
      </c>
      <c r="G13" s="16" t="n">
        <f aca="false">$B$13-B13</f>
        <v>0</v>
      </c>
      <c r="H13" s="17" t="n">
        <f aca="false">G13/$B$13</f>
        <v>0</v>
      </c>
    </row>
    <row r="14" customFormat="false" ht="15" hidden="false" customHeight="true" outlineLevel="0" collapsed="false">
      <c r="A14" s="11" t="s">
        <v>67</v>
      </c>
      <c r="B14" s="12" t="n">
        <v>1.737</v>
      </c>
      <c r="C14" s="13" t="n">
        <v>0.786</v>
      </c>
      <c r="D14" s="14" t="n">
        <v>0.551</v>
      </c>
      <c r="E14" s="14" t="n">
        <v>0.791</v>
      </c>
      <c r="F14" s="15" t="n">
        <v>1044</v>
      </c>
      <c r="G14" s="16" t="n">
        <f aca="false">$B$13-B14</f>
        <v>0.246</v>
      </c>
      <c r="H14" s="17" t="n">
        <f aca="false">G14/$B$13</f>
        <v>0.124054462934947</v>
      </c>
    </row>
    <row r="15" customFormat="false" ht="15" hidden="false" customHeight="true" outlineLevel="0" collapsed="false">
      <c r="A15" s="11" t="s">
        <v>68</v>
      </c>
      <c r="B15" s="12" t="n">
        <v>1.553</v>
      </c>
      <c r="C15" s="13" t="n">
        <v>-0.214</v>
      </c>
      <c r="D15" s="14" t="n">
        <v>0.619</v>
      </c>
      <c r="E15" s="14" t="n">
        <v>0.832</v>
      </c>
      <c r="F15" s="15" t="n">
        <v>1044</v>
      </c>
      <c r="G15" s="16" t="n">
        <f aca="false">$B$13-B15</f>
        <v>0.43</v>
      </c>
      <c r="H15" s="17" t="n">
        <f aca="false">G15/$B$13</f>
        <v>0.21684316691881</v>
      </c>
    </row>
    <row r="16" customFormat="false" ht="15" hidden="false" customHeight="true" outlineLevel="0" collapsed="false">
      <c r="A16" s="18" t="s">
        <v>69</v>
      </c>
      <c r="B16" s="19" t="n">
        <v>1.101</v>
      </c>
      <c r="C16" s="20" t="n">
        <v>-0.091</v>
      </c>
      <c r="D16" s="21" t="n">
        <v>0.777</v>
      </c>
      <c r="E16" s="21" t="n">
        <v>0.909</v>
      </c>
      <c r="F16" s="22" t="n">
        <v>1044</v>
      </c>
      <c r="G16" s="23" t="n">
        <f aca="false">$B$13-B16</f>
        <v>0.882</v>
      </c>
      <c r="H16" s="24" t="n">
        <f aca="false">G16/$B$13</f>
        <v>0.444780635400908</v>
      </c>
    </row>
    <row r="18" customFormat="false" ht="15" hidden="false" customHeight="true" outlineLevel="0" collapsed="false">
      <c r="A18" s="3" t="s">
        <v>71</v>
      </c>
    </row>
    <row r="19" customFormat="false" ht="15" hidden="false" customHeight="true" outlineLevel="0" collapsed="false">
      <c r="A19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25" t="s">
        <v>72</v>
      </c>
    </row>
    <row r="2" customFormat="false" ht="15" hidden="false" customHeight="false" outlineLevel="0" collapsed="false">
      <c r="A2" s="26" t="s">
        <v>73</v>
      </c>
    </row>
    <row r="4" customFormat="false" ht="15" hidden="false" customHeight="false" outlineLevel="0" collapsed="false">
      <c r="A4" s="27" t="s">
        <v>74</v>
      </c>
      <c r="B4" s="28"/>
      <c r="C4" s="28"/>
      <c r="D4" s="28"/>
      <c r="E4" s="28"/>
      <c r="F4" s="28"/>
    </row>
    <row r="5" customFormat="false" ht="31.5" hidden="false" customHeight="true" outlineLevel="0" collapsed="false">
      <c r="A5" s="4" t="s">
        <v>75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</row>
    <row r="6" customFormat="false" ht="15" hidden="false" customHeight="false" outlineLevel="0" collapsed="false">
      <c r="A6" s="29" t="s">
        <v>81</v>
      </c>
      <c r="B6" s="30" t="n">
        <v>2.193</v>
      </c>
      <c r="C6" s="30" t="n">
        <v>1.878</v>
      </c>
      <c r="D6" s="30" t="n">
        <v>1.809</v>
      </c>
      <c r="E6" s="31" t="n">
        <f aca="false">B6-D6</f>
        <v>0.384</v>
      </c>
      <c r="F6" s="32" t="n">
        <f aca="false">E6/B6</f>
        <v>0.175102599179207</v>
      </c>
    </row>
    <row r="7" customFormat="false" ht="15" hidden="false" customHeight="false" outlineLevel="0" collapsed="false">
      <c r="A7" s="29" t="s">
        <v>82</v>
      </c>
      <c r="B7" s="30" t="n">
        <v>2.167</v>
      </c>
      <c r="C7" s="30" t="n">
        <v>2.497</v>
      </c>
      <c r="D7" s="30" t="n">
        <v>2.043</v>
      </c>
      <c r="E7" s="31" t="n">
        <f aca="false">B7-D7</f>
        <v>0.124</v>
      </c>
      <c r="F7" s="32" t="n">
        <f aca="false">E7/B7</f>
        <v>0.0572219658514073</v>
      </c>
    </row>
    <row r="8" customFormat="false" ht="15" hidden="false" customHeight="false" outlineLevel="0" collapsed="false">
      <c r="A8" s="29" t="s">
        <v>83</v>
      </c>
      <c r="B8" s="30" t="n">
        <v>2.131</v>
      </c>
      <c r="C8" s="30" t="n">
        <v>3.09</v>
      </c>
      <c r="D8" s="30" t="n">
        <v>2.206</v>
      </c>
      <c r="E8" s="31" t="n">
        <f aca="false">B8-D8</f>
        <v>-0.0750000000000002</v>
      </c>
      <c r="F8" s="32" t="n">
        <f aca="false">E8/B8</f>
        <v>-0.0351947442515252</v>
      </c>
    </row>
    <row r="9" customFormat="false" ht="15" hidden="false" customHeight="false" outlineLevel="0" collapsed="false">
      <c r="A9" s="29" t="s">
        <v>84</v>
      </c>
      <c r="B9" s="30" t="n">
        <v>2.178</v>
      </c>
      <c r="C9" s="30" t="n">
        <v>2.204</v>
      </c>
      <c r="D9" s="30" t="n">
        <v>1.923</v>
      </c>
      <c r="E9" s="31" t="n">
        <f aca="false">B9-D9</f>
        <v>0.255</v>
      </c>
      <c r="F9" s="32" t="n">
        <f aca="false">E9/B9</f>
        <v>0.117079889807162</v>
      </c>
    </row>
    <row r="11" customFormat="false" ht="31.5" hidden="false" customHeight="true" outlineLevel="0" collapsed="false">
      <c r="A11" s="4" t="s">
        <v>85</v>
      </c>
      <c r="B11" s="4" t="s">
        <v>76</v>
      </c>
      <c r="C11" s="4" t="s">
        <v>77</v>
      </c>
      <c r="D11" s="4" t="s">
        <v>78</v>
      </c>
      <c r="E11" s="4" t="s">
        <v>86</v>
      </c>
      <c r="F11" s="4"/>
    </row>
    <row r="12" customFormat="false" ht="15" hidden="false" customHeight="false" outlineLevel="0" collapsed="false">
      <c r="A12" s="29" t="s">
        <v>87</v>
      </c>
      <c r="B12" s="33" t="n">
        <v>0.684</v>
      </c>
      <c r="C12" s="33" t="n">
        <v>0.684</v>
      </c>
      <c r="D12" s="33" t="n">
        <v>0.701</v>
      </c>
      <c r="E12" s="34" t="n">
        <f aca="false">(D12-B12)*100</f>
        <v>1.69999999999999</v>
      </c>
    </row>
    <row r="14" customFormat="false" ht="15" hidden="false" customHeight="false" outlineLevel="0" collapsed="false">
      <c r="A14" s="27" t="s">
        <v>88</v>
      </c>
      <c r="B14" s="28"/>
      <c r="C14" s="28"/>
      <c r="D14" s="28"/>
      <c r="E14" s="28"/>
      <c r="F14" s="28"/>
      <c r="G14" s="28"/>
    </row>
    <row r="15" customFormat="false" ht="31.5" hidden="false" customHeight="true" outlineLevel="0" collapsed="false">
      <c r="A15" s="4" t="s">
        <v>89</v>
      </c>
      <c r="B15" s="4" t="s">
        <v>51</v>
      </c>
      <c r="C15" s="4" t="s">
        <v>90</v>
      </c>
      <c r="D15" s="4" t="s">
        <v>91</v>
      </c>
      <c r="E15" s="4" t="s">
        <v>92</v>
      </c>
      <c r="F15" s="4" t="s">
        <v>93</v>
      </c>
      <c r="G15" s="4" t="s">
        <v>94</v>
      </c>
    </row>
    <row r="16" customFormat="false" ht="15" hidden="false" customHeight="false" outlineLevel="0" collapsed="false">
      <c r="A16" s="29" t="s">
        <v>95</v>
      </c>
      <c r="B16" s="35" t="n">
        <v>849</v>
      </c>
      <c r="C16" s="33" t="n">
        <v>0.888</v>
      </c>
      <c r="D16" s="36" t="n">
        <v>8.155</v>
      </c>
      <c r="E16" s="33" t="n">
        <v>0.873</v>
      </c>
      <c r="F16" s="36" t="n">
        <v>7.716</v>
      </c>
      <c r="G16" s="37" t="n">
        <f aca="false">1-F16/D16</f>
        <v>0.0538320049049662</v>
      </c>
    </row>
    <row r="17" customFormat="false" ht="15" hidden="false" customHeight="false" outlineLevel="0" collapsed="false">
      <c r="A17" s="29" t="s">
        <v>96</v>
      </c>
      <c r="B17" s="35" t="n">
        <v>1086</v>
      </c>
      <c r="C17" s="33" t="n">
        <v>0.898</v>
      </c>
      <c r="D17" s="36" t="n">
        <v>7.945</v>
      </c>
      <c r="E17" s="33" t="n">
        <v>0.833</v>
      </c>
      <c r="F17" s="36" t="n">
        <v>7.017</v>
      </c>
      <c r="G17" s="37" t="n">
        <f aca="false">1-F17/D17</f>
        <v>0.116803020767778</v>
      </c>
    </row>
    <row r="18" customFormat="false" ht="15" hidden="false" customHeight="false" outlineLevel="0" collapsed="false">
      <c r="A18" s="29" t="s">
        <v>97</v>
      </c>
      <c r="B18" s="35" t="n">
        <v>1230</v>
      </c>
      <c r="C18" s="33" t="n">
        <v>0.886</v>
      </c>
      <c r="D18" s="36" t="n">
        <v>7.239</v>
      </c>
      <c r="E18" s="33" t="n">
        <v>0.82</v>
      </c>
      <c r="F18" s="36" t="n">
        <v>6.288</v>
      </c>
      <c r="G18" s="37" t="n">
        <f aca="false">1-F18/D18</f>
        <v>0.131371736427683</v>
      </c>
    </row>
    <row r="19" customFormat="false" ht="15" hidden="false" customHeight="false" outlineLevel="0" collapsed="false">
      <c r="A19" s="29" t="s">
        <v>98</v>
      </c>
      <c r="B19" s="35" t="n">
        <v>1353</v>
      </c>
      <c r="C19" s="33" t="n">
        <v>0.916</v>
      </c>
      <c r="D19" s="36" t="n">
        <v>6.962</v>
      </c>
      <c r="E19" s="33" t="n">
        <v>0.813</v>
      </c>
      <c r="F19" s="36" t="n">
        <v>5.468</v>
      </c>
      <c r="G19" s="37" t="n">
        <f aca="false">1-F19/D19</f>
        <v>0.214593507612755</v>
      </c>
    </row>
    <row r="21" customFormat="false" ht="31.5" hidden="false" customHeight="true" outlineLevel="0" collapsed="false">
      <c r="A21" s="4" t="s">
        <v>99</v>
      </c>
      <c r="B21" s="4" t="s">
        <v>51</v>
      </c>
      <c r="C21" s="4" t="s">
        <v>90</v>
      </c>
      <c r="D21" s="4" t="s">
        <v>91</v>
      </c>
      <c r="E21" s="4" t="s">
        <v>92</v>
      </c>
      <c r="F21" s="4" t="s">
        <v>93</v>
      </c>
      <c r="G21" s="4" t="s">
        <v>94</v>
      </c>
    </row>
    <row r="22" customFormat="false" ht="15" hidden="false" customHeight="false" outlineLevel="0" collapsed="false">
      <c r="A22" s="29" t="s">
        <v>81</v>
      </c>
      <c r="B22" s="35" t="n">
        <v>2767</v>
      </c>
      <c r="C22" s="33" t="n">
        <v>0.912</v>
      </c>
      <c r="D22" s="36" t="n">
        <v>7.498</v>
      </c>
      <c r="E22" s="33" t="n">
        <v>0.841</v>
      </c>
      <c r="F22" s="36" t="n">
        <v>6.284</v>
      </c>
      <c r="G22" s="37" t="n">
        <f aca="false">1-F22/D22</f>
        <v>0.1619098426247</v>
      </c>
    </row>
    <row r="23" customFormat="false" ht="15" hidden="false" customHeight="false" outlineLevel="0" collapsed="false">
      <c r="A23" s="29" t="s">
        <v>82</v>
      </c>
      <c r="B23" s="35" t="n">
        <v>1096</v>
      </c>
      <c r="C23" s="33" t="n">
        <v>0.889</v>
      </c>
      <c r="D23" s="36" t="n">
        <v>7.56</v>
      </c>
      <c r="E23" s="33" t="n">
        <v>0.827</v>
      </c>
      <c r="F23" s="36" t="n">
        <v>6.745</v>
      </c>
      <c r="G23" s="37" t="n">
        <f aca="false">1-F23/D23</f>
        <v>0.107804232804233</v>
      </c>
    </row>
    <row r="24" customFormat="false" ht="15" hidden="false" customHeight="false" outlineLevel="0" collapsed="false">
      <c r="A24" s="29" t="s">
        <v>83</v>
      </c>
      <c r="B24" s="35" t="n">
        <v>655</v>
      </c>
      <c r="C24" s="33" t="n">
        <v>0.855</v>
      </c>
      <c r="D24" s="36" t="n">
        <v>7.395</v>
      </c>
      <c r="E24" s="33" t="n">
        <v>0.797</v>
      </c>
      <c r="F24" s="36" t="n">
        <v>6.906</v>
      </c>
      <c r="G24" s="37" t="n">
        <f aca="false">1-F24/D24</f>
        <v>0.0661257606490873</v>
      </c>
    </row>
    <row r="26" customFormat="false" ht="15" hidden="false" customHeight="false" outlineLevel="0" collapsed="false">
      <c r="A26" s="38" t="s">
        <v>100</v>
      </c>
      <c r="B26" s="39" t="n">
        <v>0.8</v>
      </c>
    </row>
    <row r="27" customFormat="false" ht="15" hidden="false" customHeight="false" outlineLevel="0" collapsed="false">
      <c r="A27" s="40" t="s">
        <v>101</v>
      </c>
      <c r="B27" s="41" t="n">
        <f aca="false">MIN(E16:E19,E22:E24)</f>
        <v>0.797</v>
      </c>
    </row>
    <row r="28" customFormat="false" ht="15" hidden="false" customHeight="false" outlineLevel="0" collapsed="false">
      <c r="A28" s="40" t="s">
        <v>102</v>
      </c>
      <c r="B28" s="40" t="str">
        <f aca="false">IF(B27&gt;=B26-0.005,"Yes (within 0.5 pt)","No")</f>
        <v>Yes (within 0.5 pt)</v>
      </c>
    </row>
    <row r="30" customFormat="false" ht="15" hidden="false" customHeight="false" outlineLevel="0" collapsed="false">
      <c r="A30" s="26" t="s">
        <v>103</v>
      </c>
    </row>
    <row r="31" customFormat="false" ht="15" hidden="false" customHeight="false" outlineLevel="0" collapsed="false">
      <c r="A31" s="2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6"/>
  </cols>
  <sheetData>
    <row r="1" customFormat="false" ht="17.25" hidden="false" customHeight="true" outlineLevel="0" collapsed="false">
      <c r="A1" s="2" t="s">
        <v>105</v>
      </c>
    </row>
    <row r="3" customFormat="false" ht="31.5" hidden="false" customHeight="true" outlineLevel="0" collapsed="false">
      <c r="A3" s="4" t="s">
        <v>106</v>
      </c>
      <c r="B3" s="4" t="s">
        <v>107</v>
      </c>
      <c r="C3" s="4" t="s">
        <v>108</v>
      </c>
    </row>
    <row r="4" customFormat="false" ht="15" hidden="false" customHeight="true" outlineLevel="0" collapsed="false">
      <c r="A4" s="42" t="n">
        <v>10</v>
      </c>
      <c r="B4" s="43" t="n">
        <v>3.732</v>
      </c>
      <c r="C4" s="43" t="n">
        <v>3.449</v>
      </c>
    </row>
    <row r="5" customFormat="false" ht="15" hidden="false" customHeight="true" outlineLevel="0" collapsed="false">
      <c r="A5" s="42" t="n">
        <v>11</v>
      </c>
      <c r="B5" s="43" t="n">
        <v>3.043</v>
      </c>
      <c r="C5" s="43" t="n">
        <v>2.626</v>
      </c>
    </row>
    <row r="6" customFormat="false" ht="15" hidden="false" customHeight="true" outlineLevel="0" collapsed="false">
      <c r="A6" s="42" t="n">
        <v>12</v>
      </c>
      <c r="B6" s="43" t="n">
        <v>2.519</v>
      </c>
      <c r="C6" s="43" t="n">
        <v>1.97</v>
      </c>
    </row>
    <row r="7" customFormat="false" ht="15" hidden="false" customHeight="true" outlineLevel="0" collapsed="false">
      <c r="A7" s="42" t="n">
        <v>13</v>
      </c>
      <c r="B7" s="43" t="n">
        <v>2.214</v>
      </c>
      <c r="C7" s="43" t="n">
        <v>1.705</v>
      </c>
    </row>
    <row r="8" customFormat="false" ht="15" hidden="false" customHeight="true" outlineLevel="0" collapsed="false">
      <c r="A8" s="42" t="n">
        <v>14</v>
      </c>
      <c r="B8" s="43" t="n">
        <v>2.17</v>
      </c>
      <c r="C8" s="43" t="n">
        <v>1.878</v>
      </c>
    </row>
    <row r="9" customFormat="false" ht="15" hidden="false" customHeight="true" outlineLevel="0" collapsed="false">
      <c r="A9" s="42" t="n">
        <v>15</v>
      </c>
      <c r="B9" s="43" t="n">
        <v>2.487</v>
      </c>
      <c r="C9" s="43" t="n">
        <v>2.417</v>
      </c>
    </row>
    <row r="10" customFormat="false" ht="15" hidden="false" customHeight="true" outlineLevel="0" collapsed="false">
      <c r="A10" s="42" t="n">
        <v>16</v>
      </c>
      <c r="B10" s="43" t="n">
        <v>3.118</v>
      </c>
      <c r="C10" s="43" t="n">
        <v>3.206</v>
      </c>
    </row>
    <row r="12" customFormat="false" ht="15" hidden="false" customHeight="true" outlineLevel="0" collapsed="false">
      <c r="A12" s="44" t="s">
        <v>109</v>
      </c>
      <c r="B12" s="45" t="n">
        <f aca="false">MIN(B4:B10)</f>
        <v>2.17</v>
      </c>
      <c r="C12" s="45" t="n">
        <f aca="false">MIN(C4:C10)</f>
        <v>1.705</v>
      </c>
    </row>
    <row r="13" customFormat="false" ht="15" hidden="false" customHeight="true" outlineLevel="0" collapsed="false">
      <c r="A13" s="44" t="s">
        <v>110</v>
      </c>
      <c r="B13" s="46" t="n">
        <f aca="false">INDEX($A$4:$A$10,MATCH(B12,B4:B10,0))</f>
        <v>14</v>
      </c>
      <c r="C13" s="46" t="n">
        <f aca="false">INDEX($A$4:$A$10,MATCH(C12,C4:C10,0))</f>
        <v>13</v>
      </c>
    </row>
    <row r="15" customFormat="false" ht="15" hidden="false" customHeight="true" outlineLevel="0" collapsed="false">
      <c r="A15" s="3" t="s">
        <v>111</v>
      </c>
    </row>
    <row r="16" customFormat="false" ht="15" hidden="false" customHeight="true" outlineLevel="0" collapsed="false">
      <c r="A16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112</v>
      </c>
    </row>
    <row r="3" customFormat="false" ht="31.5" hidden="false" customHeight="true" outlineLevel="0" collapsed="false">
      <c r="A3" s="4" t="s">
        <v>113</v>
      </c>
      <c r="B3" s="4" t="s">
        <v>3</v>
      </c>
    </row>
    <row r="4" customFormat="false" ht="15" hidden="false" customHeight="true" outlineLevel="0" collapsed="false">
      <c r="A4" s="11" t="s">
        <v>114</v>
      </c>
      <c r="B4" s="47" t="n">
        <v>1515</v>
      </c>
    </row>
    <row r="5" customFormat="false" ht="15" hidden="false" customHeight="true" outlineLevel="0" collapsed="false">
      <c r="A5" s="11" t="s">
        <v>115</v>
      </c>
      <c r="B5" s="47" t="n">
        <v>1665</v>
      </c>
    </row>
    <row r="6" customFormat="false" ht="15" hidden="false" customHeight="true" outlineLevel="0" collapsed="false">
      <c r="A6" s="11" t="s">
        <v>116</v>
      </c>
      <c r="B6" s="47" t="n">
        <v>157</v>
      </c>
    </row>
    <row r="7" customFormat="false" ht="15" hidden="false" customHeight="true" outlineLevel="0" collapsed="false">
      <c r="A7" s="11" t="s">
        <v>117</v>
      </c>
      <c r="B7" s="47" t="n">
        <v>1498</v>
      </c>
    </row>
    <row r="8" customFormat="false" ht="15" hidden="false" customHeight="true" outlineLevel="0" collapsed="false">
      <c r="A8" s="11" t="s">
        <v>118</v>
      </c>
      <c r="B8" s="48" t="n">
        <v>13.28</v>
      </c>
    </row>
    <row r="9" customFormat="false" ht="15" hidden="false" customHeight="true" outlineLevel="0" collapsed="false">
      <c r="A9" s="11" t="s">
        <v>119</v>
      </c>
      <c r="B9" s="48" t="n">
        <v>2.65</v>
      </c>
    </row>
    <row r="10" customFormat="false" ht="15" hidden="false" customHeight="true" outlineLevel="0" collapsed="false">
      <c r="A10" s="11" t="s">
        <v>120</v>
      </c>
      <c r="B10" s="47" t="n">
        <v>13</v>
      </c>
    </row>
    <row r="11" customFormat="false" ht="15" hidden="false" customHeight="true" outlineLevel="0" collapsed="false">
      <c r="A11" s="11" t="s">
        <v>121</v>
      </c>
      <c r="B11" s="49" t="n">
        <v>0.94</v>
      </c>
    </row>
    <row r="13" customFormat="false" ht="15" hidden="false" customHeight="true" outlineLevel="0" collapsed="false">
      <c r="A13" s="50" t="s">
        <v>122</v>
      </c>
      <c r="B13" s="51" t="n">
        <f aca="false">B4/B5</f>
        <v>0.90990990990991</v>
      </c>
    </row>
    <row r="14" customFormat="false" ht="15" hidden="false" customHeight="true" outlineLevel="0" collapsed="false">
      <c r="A14" s="50" t="s">
        <v>123</v>
      </c>
      <c r="B14" s="51" t="n">
        <f aca="false">B7/B4</f>
        <v>0.988778877887789</v>
      </c>
    </row>
    <row r="16" customFormat="false" ht="15" hidden="false" customHeight="true" outlineLevel="0" collapsed="false">
      <c r="A16" s="3" t="s">
        <v>124</v>
      </c>
    </row>
    <row r="17" customFormat="false" ht="15" hidden="false" customHeight="true" outlineLevel="0" collapsed="false">
      <c r="A17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2026-10-01T18:51:05Z</dcterms:created>
  <dc:creator>openpyxl</dc:creator>
  <dc:description/>
  <dc:language>en-US</dc:language>
  <cp:lastModifiedBy/>
  <dcterms:modified xsi:type="dcterms:W3CDTF">2026-10-02T19:38:16Z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